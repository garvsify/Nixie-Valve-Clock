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ames Garvey\Desktop\PRJT-0000-39\Released\"/>
    </mc:Choice>
  </mc:AlternateContent>
  <xr:revisionPtr revIDLastSave="0" documentId="8_{062DDE69-20E6-4679-984E-F501ABC8DA5A}" xr6:coauthVersionLast="47" xr6:coauthVersionMax="47" xr10:uidLastSave="{00000000-0000-0000-0000-000000000000}"/>
  <bookViews>
    <workbookView xWindow="-120" yWindow="-120" windowWidth="29040" windowHeight="15720" xr2:uid="{75946746-E8D1-460F-9563-990C620011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6" i="1" l="1"/>
  <c r="P29" i="1"/>
  <c r="Q43" i="1" s="1"/>
  <c r="Q44" i="1" s="1"/>
  <c r="R25" i="1"/>
  <c r="S25" i="1" s="1"/>
  <c r="T25" i="1" s="1"/>
  <c r="Q67" i="1" a="1"/>
  <c r="Q62" i="1" a="1"/>
  <c r="Q60" i="1" a="1"/>
  <c r="Q66" i="1" a="1"/>
  <c r="Q67" i="1" l="1"/>
  <c r="Q66" i="1"/>
  <c r="Q61" i="1" s="1"/>
  <c r="Q60" i="1"/>
  <c r="Q62" i="1"/>
  <c r="Q41" i="1"/>
  <c r="Q42" i="1"/>
  <c r="Q29" i="1"/>
  <c r="R29" i="1" s="1"/>
  <c r="U25" i="1" a="1"/>
  <c r="Q37" i="1" a="1"/>
  <c r="Q35" i="1" a="1"/>
  <c r="Q35" i="1" l="1"/>
  <c r="Q37" i="1"/>
  <c r="U25" i="1"/>
  <c r="S29" i="1" a="1"/>
  <c r="S29" i="1" l="1"/>
  <c r="N33" i="1" s="1"/>
  <c r="M33" i="1"/>
  <c r="Q69" i="1" a="1"/>
  <c r="Q69" i="1" l="1"/>
  <c r="Q68" i="1" a="1"/>
  <c r="Q6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<sst xmlns="http://schemas.openxmlformats.org/spreadsheetml/2006/main" count="154" uniqueCount="101">
  <si>
    <t>Pattern Class</t>
  </si>
  <si>
    <t>MTW</t>
  </si>
  <si>
    <t>Drill Class</t>
  </si>
  <si>
    <t>A</t>
  </si>
  <si>
    <t>B</t>
  </si>
  <si>
    <t>C</t>
  </si>
  <si>
    <t>D</t>
  </si>
  <si>
    <t>E</t>
  </si>
  <si>
    <t>MTT/MTP/MPP (mm)</t>
  </si>
  <si>
    <t>MTS</t>
  </si>
  <si>
    <t>Glossary</t>
  </si>
  <si>
    <t>Minimum Toolsize</t>
  </si>
  <si>
    <t>MTT</t>
  </si>
  <si>
    <t>MTP</t>
  </si>
  <si>
    <t>MPP</t>
  </si>
  <si>
    <t>Equations</t>
  </si>
  <si>
    <t>MUAR</t>
  </si>
  <si>
    <t>Minimum Unfinished Annular Ring</t>
  </si>
  <si>
    <t>MUIAR</t>
  </si>
  <si>
    <t>MUOAR</t>
  </si>
  <si>
    <t>Minimum Unfinished Inner Annular Ring</t>
  </si>
  <si>
    <t>Minimum Unfinished Outer Annular Ring</t>
  </si>
  <si>
    <t>MUHH</t>
  </si>
  <si>
    <t>MFHH</t>
  </si>
  <si>
    <t>If PTH:</t>
  </si>
  <si>
    <t>If NPTH:</t>
  </si>
  <si>
    <t>MFAR</t>
  </si>
  <si>
    <t>Minimum Finished Annular Ring</t>
  </si>
  <si>
    <t>MFAR = MUAR</t>
  </si>
  <si>
    <t>MTS (mm)</t>
  </si>
  <si>
    <r>
      <t>MUAR (mm)</t>
    </r>
    <r>
      <rPr>
        <sz val="11"/>
        <color theme="1"/>
        <rFont val="Calibri"/>
        <family val="2"/>
        <scheme val="minor"/>
      </rPr>
      <t>(Minimum of MUOAR/MUIAR)</t>
    </r>
  </si>
  <si>
    <t>MTW (mm)</t>
  </si>
  <si>
    <t>Minimum Class Calculator</t>
  </si>
  <si>
    <t>Enter PTH/NPTH</t>
  </si>
  <si>
    <t>PTH</t>
  </si>
  <si>
    <t>MFAR = MUAR + (0.1/2)mm</t>
  </si>
  <si>
    <t>MFHS = MTS - 0.1mm</t>
  </si>
  <si>
    <t>MFHS</t>
  </si>
  <si>
    <t>Minimum Finished Hole Size</t>
  </si>
  <si>
    <t>MFHS = MTS</t>
  </si>
  <si>
    <t>Calculate Minimum Drill Class</t>
  </si>
  <si>
    <t>MPS</t>
  </si>
  <si>
    <t>Minimum Padsize</t>
  </si>
  <si>
    <t>Minimum Clearance</t>
  </si>
  <si>
    <t>Minimum Width</t>
  </si>
  <si>
    <t>Minimum Drill Class:</t>
  </si>
  <si>
    <t>Minimum Pattern Class:</t>
  </si>
  <si>
    <t>Electrical &gt; Clearance</t>
  </si>
  <si>
    <t>Routing &gt; Width</t>
  </si>
  <si>
    <t>Manufacturing</t>
  </si>
  <si>
    <t>Design Rule Location</t>
  </si>
  <si>
    <t>Design Rule</t>
  </si>
  <si>
    <t>Amount (mm)</t>
  </si>
  <si>
    <t>Minimum Unfinished Hole-to-Hole Clearance</t>
  </si>
  <si>
    <t>Minimum Finished Hole-to-Hole Clearance</t>
  </si>
  <si>
    <t>Minimum Pad-To-Pad Clearance</t>
  </si>
  <si>
    <t>Minimum Track-to-Pad Clearance</t>
  </si>
  <si>
    <t>Minimum Track-to-Track Clearance</t>
  </si>
  <si>
    <t>Minimum Track Width</t>
  </si>
  <si>
    <t>(Calculated Ideal MTS)</t>
  </si>
  <si>
    <t>Enter MPS required</t>
  </si>
  <si>
    <t>Calculate Minimum Pattern Class</t>
  </si>
  <si>
    <t>(Calculated Nearest Class MUAR)</t>
  </si>
  <si>
    <t>(Calculated Nearest Class MTS)</t>
  </si>
  <si>
    <t>NPTH</t>
  </si>
  <si>
    <t>Enter MFHS required</t>
  </si>
  <si>
    <t>(Calculated Ideal MUAR)</t>
  </si>
  <si>
    <t>(Calculated MFAR in calculated class)</t>
  </si>
  <si>
    <t>PTH/NPTH</t>
  </si>
  <si>
    <t>Plated Through Hole</t>
  </si>
  <si>
    <t>Non-Plated Through Hole</t>
  </si>
  <si>
    <t>Eurocircuits Classifications</t>
  </si>
  <si>
    <t>User Guide</t>
  </si>
  <si>
    <t>Enter MPS, PTH/NPTH, and MFHS into the green-outlined cells to calculate Pattern and Drill Classes</t>
  </si>
  <si>
    <t>Note: You may have to create new rules</t>
  </si>
  <si>
    <t>Note: The minimum hole-to-hole clearances listed in the 'Altium Design Rule Generator' are essentially exception rules if the minimum pad-to-pad and minimum annular ring rules are broken. I.e. if the annular rings are shrunk below the minimum (this is legal in certain cases, see Eurocircuits website) then this is where the minimum hole-to-hole clearance becomes relevant</t>
  </si>
  <si>
    <t>Note: PTH will require a smaller (higher number) Pattern class due to the larger toolsize compared with NPTH, therefore advice is to plug in your smallest PTH characteristics to find your minimum Pattern Class. However because for the same MFHS, NPTH will require a smaller toolsize, if you are using NPTH in your design, and the NPTH MFHS less than or equal to the PTH MFHS, remember to plug these values in to find the smallest Drill Class in your project</t>
  </si>
  <si>
    <t>Minimum Soldermask Sliver</t>
  </si>
  <si>
    <t>Silk to Soldermask Clearance</t>
  </si>
  <si>
    <t>Silk to Silk Clearance</t>
  </si>
  <si>
    <t>Mask &gt; Solder Mask Expansion</t>
  </si>
  <si>
    <t>Mask &gt; Paste Mask Expansion</t>
  </si>
  <si>
    <t>Solder Mask Expansion</t>
  </si>
  <si>
    <t>Paste Mask Expansion</t>
  </si>
  <si>
    <t>Routing &gt; Routing Via Style</t>
  </si>
  <si>
    <t>Routing Vias</t>
  </si>
  <si>
    <t>*</t>
  </si>
  <si>
    <t>Board Outline Clearance**</t>
  </si>
  <si>
    <t>** As The board outline is intepreted as an 'object' the actual Board outline clearance will be the largest of the Board Outline Clearance Rule and a specific region to the board outline region (controlled from the clearance rules), so make sure your clearance rule accounts for this placing regions up to the board outline</t>
  </si>
  <si>
    <t xml:space="preserve">* Set your minimum characteristics for the routing vias to the MPS and MFHS, set the pref. and max. relevant to your own projwct requirements </t>
  </si>
  <si>
    <t>Rules generated for Class:</t>
  </si>
  <si>
    <t>Altium Design Rule Generator (from Calculator)</t>
  </si>
  <si>
    <t>Altium Design Rule Generator (Manual Class Selection)</t>
  </si>
  <si>
    <t>Enter Class:</t>
  </si>
  <si>
    <t>Minimum Hole Size PTH (PTH MFHS)</t>
  </si>
  <si>
    <t>Minimum Hole Size NPTH (NPTH MFHS)</t>
  </si>
  <si>
    <t>* Minimum characteristics for vias/pads can be derived from other rules</t>
  </si>
  <si>
    <t>Minimum Hole to Hole Clearance</t>
  </si>
  <si>
    <t>PTH Minimum Annular Ring (PTH MFAR)</t>
  </si>
  <si>
    <t>NPTH Minimum Annular Ring (NPTH MFAR)</t>
  </si>
  <si>
    <t>Clearance_IPI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</si>
</sst>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8"/>
      <color rgb="FF333333"/>
      <name val="Arial"/>
      <family val="2"/>
    </font>
    <font>
      <sz val="10"/>
      <color rgb="FF0C0C0C"/>
      <name val="Inherit"/>
    </font>
    <font>
      <sz val="11"/>
      <color rgb="FF0C0C0C"/>
      <name val="Calibri"/>
      <family val="2"/>
      <scheme val="minor"/>
    </font>
    <font>
      <sz val="16"/>
      <color theme="1"/>
      <name val="Calibri"/>
      <family val="2"/>
      <scheme val="minor"/>
    </font>
    <font>
      <sz val="11"/>
      <color theme="0"/>
      <name val="Calibri"/>
      <family val="2"/>
      <scheme val="minor"/>
    </font>
    <font>
      <sz val="1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theme="0" tint="-0.499984740745262"/>
      </right>
      <top style="medium">
        <color theme="0" tint="-0.499984740745262"/>
      </top>
      <bottom style="medium">
        <color indexed="64"/>
      </bottom>
      <diagonal/>
    </border>
    <border>
      <left style="medium">
        <color theme="0" tint="-0.499984740745262"/>
      </left>
      <right style="medium">
        <color theme="0" tint="-0.499984740745262"/>
      </right>
      <top style="medium">
        <color theme="0" tint="-0.499984740745262"/>
      </top>
      <bottom style="medium">
        <color indexed="64"/>
      </bottom>
      <diagonal/>
    </border>
    <border>
      <left style="medium">
        <color theme="0" tint="-0.499984740745262"/>
      </left>
      <right/>
      <top style="medium">
        <color theme="0" tint="-0.499984740745262"/>
      </top>
      <bottom style="medium">
        <color indexed="64"/>
      </bottom>
      <diagonal/>
    </border>
    <border>
      <left/>
      <right style="medium">
        <color theme="5"/>
      </right>
      <top style="medium">
        <color theme="5"/>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theme="9"/>
      </right>
      <top style="medium">
        <color theme="9"/>
      </top>
      <bottom/>
      <diagonal/>
    </border>
    <border>
      <left style="medium">
        <color theme="9"/>
      </left>
      <right style="medium">
        <color theme="9"/>
      </right>
      <top style="medium">
        <color theme="9"/>
      </top>
      <bottom/>
      <diagonal/>
    </border>
    <border>
      <left style="medium">
        <color theme="9"/>
      </left>
      <right/>
      <top style="medium">
        <color theme="9"/>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
        <color theme="0" tint="-0.499984740745262"/>
      </top>
      <bottom/>
      <diagonal/>
    </border>
    <border>
      <left style="medium">
        <color theme="5"/>
      </left>
      <right style="medium">
        <color indexed="64"/>
      </right>
      <top style="medium">
        <color theme="5"/>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90">
    <xf numFmtId="0" fontId="0" fillId="0" borderId="0" xfId="0"/>
    <xf numFmtId="0" fontId="1" fillId="0" borderId="0" xfId="0" applyFont="1"/>
    <xf numFmtId="0" fontId="0" fillId="0" borderId="1" xfId="0" applyBorder="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0" borderId="0" xfId="0" applyFont="1"/>
    <xf numFmtId="0" fontId="5" fillId="0" borderId="0" xfId="0" applyFont="1" applyAlignment="1">
      <alignment horizontal="left" vertical="center" inden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7" fillId="0" borderId="10" xfId="0" applyFont="1" applyBorder="1"/>
    <xf numFmtId="0" fontId="0" fillId="0" borderId="11" xfId="0" applyBorder="1"/>
    <xf numFmtId="0" fontId="0" fillId="0" borderId="12" xfId="0" applyBorder="1"/>
    <xf numFmtId="0" fontId="1" fillId="0" borderId="13" xfId="0" applyFont="1" applyBorder="1"/>
    <xf numFmtId="0" fontId="1" fillId="0" borderId="14" xfId="0" applyFont="1" applyBorder="1"/>
    <xf numFmtId="0" fontId="0" fillId="0" borderId="18" xfId="0" applyBorder="1"/>
    <xf numFmtId="0" fontId="0" fillId="0" borderId="19" xfId="0" applyBorder="1"/>
    <xf numFmtId="0" fontId="0" fillId="0" borderId="20" xfId="0" applyBorder="1"/>
    <xf numFmtId="0" fontId="6" fillId="0" borderId="21" xfId="0" applyFont="1" applyBorder="1" applyAlignment="1">
      <alignment horizontal="right"/>
    </xf>
    <xf numFmtId="0" fontId="0" fillId="0" borderId="0" xfId="0" applyAlignment="1">
      <alignment wrapText="1"/>
    </xf>
    <xf numFmtId="0" fontId="3" fillId="0" borderId="13" xfId="0" applyFont="1" applyBorder="1"/>
    <xf numFmtId="0" fontId="2" fillId="0" borderId="22" xfId="0" applyFont="1" applyBorder="1"/>
    <xf numFmtId="0" fontId="0" fillId="0" borderId="23" xfId="0" applyBorder="1"/>
    <xf numFmtId="0" fontId="0" fillId="0" borderId="24" xfId="0" applyBorder="1"/>
    <xf numFmtId="0" fontId="1" fillId="0" borderId="34" xfId="0" applyFont="1" applyBorder="1"/>
    <xf numFmtId="0" fontId="0" fillId="0" borderId="31" xfId="0" applyBorder="1"/>
    <xf numFmtId="0" fontId="0" fillId="0" borderId="32" xfId="0" applyBorder="1"/>
    <xf numFmtId="0" fontId="0" fillId="0" borderId="33" xfId="0" applyBorder="1"/>
    <xf numFmtId="0" fontId="0" fillId="0" borderId="10" xfId="0" applyBorder="1"/>
    <xf numFmtId="0" fontId="7" fillId="0" borderId="22" xfId="0" applyFont="1" applyBorder="1"/>
    <xf numFmtId="0" fontId="0" fillId="0" borderId="35" xfId="0" applyBorder="1" applyProtection="1">
      <protection locked="0"/>
    </xf>
    <xf numFmtId="0" fontId="0" fillId="0" borderId="36" xfId="0" applyBorder="1" applyProtection="1">
      <protection locked="0"/>
    </xf>
    <xf numFmtId="0" fontId="0" fillId="0" borderId="37" xfId="0" applyBorder="1" applyProtection="1">
      <protection locked="0"/>
    </xf>
    <xf numFmtId="0" fontId="0" fillId="0" borderId="38" xfId="0" applyBorder="1"/>
    <xf numFmtId="0" fontId="0" fillId="0" borderId="39" xfId="0" applyBorder="1"/>
    <xf numFmtId="0" fontId="0" fillId="0" borderId="40" xfId="0" applyBorder="1"/>
    <xf numFmtId="0" fontId="0" fillId="0" borderId="22" xfId="0" applyBorder="1"/>
    <xf numFmtId="0" fontId="8" fillId="3" borderId="22" xfId="0" applyFont="1" applyFill="1" applyBorder="1"/>
    <xf numFmtId="0" fontId="9" fillId="0" borderId="29" xfId="0" applyFont="1" applyBorder="1"/>
    <xf numFmtId="0" fontId="9" fillId="0" borderId="28" xfId="0" applyFont="1" applyBorder="1"/>
    <xf numFmtId="0" fontId="9" fillId="0" borderId="30" xfId="0" applyFont="1" applyBorder="1"/>
    <xf numFmtId="0" fontId="9" fillId="0" borderId="5" xfId="0" applyFont="1" applyBorder="1"/>
    <xf numFmtId="0" fontId="9" fillId="0" borderId="1" xfId="0" applyFont="1" applyBorder="1"/>
    <xf numFmtId="0" fontId="9" fillId="0" borderId="6" xfId="0" applyFont="1" applyBorder="1"/>
    <xf numFmtId="0" fontId="9" fillId="0" borderId="7" xfId="0" applyFont="1" applyBorder="1"/>
    <xf numFmtId="0" fontId="9" fillId="0" borderId="8" xfId="0" applyFont="1" applyBorder="1"/>
    <xf numFmtId="0" fontId="9" fillId="0" borderId="9" xfId="0" applyFont="1" applyBorder="1"/>
    <xf numFmtId="0" fontId="0" fillId="0" borderId="11" xfId="0" applyBorder="1" applyAlignment="1">
      <alignment wrapText="1"/>
    </xf>
    <xf numFmtId="0" fontId="1" fillId="0" borderId="1" xfId="0" applyFont="1" applyBorder="1"/>
    <xf numFmtId="0" fontId="8" fillId="3" borderId="23" xfId="0" applyFont="1" applyFill="1" applyBorder="1"/>
    <xf numFmtId="0" fontId="0" fillId="0" borderId="41" xfId="0" applyBorder="1"/>
    <xf numFmtId="0" fontId="0" fillId="0" borderId="42" xfId="0" applyBorder="1"/>
    <xf numFmtId="0" fontId="0" fillId="0" borderId="43" xfId="0" applyBorder="1"/>
    <xf numFmtId="0" fontId="1" fillId="0" borderId="5" xfId="0" applyFont="1" applyBorder="1"/>
    <xf numFmtId="0" fontId="1" fillId="0" borderId="6" xfId="0" applyFont="1" applyBorder="1"/>
    <xf numFmtId="0" fontId="0" fillId="2" borderId="22" xfId="0" applyFill="1" applyBorder="1" applyProtection="1">
      <protection locked="0"/>
    </xf>
    <xf numFmtId="0" fontId="0" fillId="2" borderId="24" xfId="0" applyFill="1" applyBorder="1" applyProtection="1">
      <protection locked="0"/>
    </xf>
    <xf numFmtId="0" fontId="2" fillId="0" borderId="10"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0" fillId="0" borderId="22" xfId="0" applyBorder="1" applyAlignment="1">
      <alignment wrapText="1"/>
    </xf>
    <xf numFmtId="0" fontId="0" fillId="0" borderId="24" xfId="0" applyBorder="1" applyAlignment="1">
      <alignment wrapText="1"/>
    </xf>
    <xf numFmtId="0" fontId="0" fillId="0" borderId="0" xfId="0" applyAlignment="1">
      <alignment wrapText="1"/>
    </xf>
    <xf numFmtId="0" fontId="2" fillId="0" borderId="10" xfId="0" applyFont="1" applyBorder="1"/>
    <xf numFmtId="0" fontId="0" fillId="0" borderId="11" xfId="0" applyBorder="1"/>
    <xf numFmtId="0" fontId="0" fillId="0" borderId="12" xfId="0" applyBorder="1"/>
    <xf numFmtId="0" fontId="0" fillId="0" borderId="13" xfId="0" applyBorder="1"/>
    <xf numFmtId="0" fontId="0" fillId="0" borderId="0" xfId="0"/>
    <xf numFmtId="0" fontId="0" fillId="0" borderId="14" xfId="0" applyBorder="1"/>
    <xf numFmtId="0" fontId="0" fillId="0" borderId="5"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26" xfId="0" applyBorder="1" applyAlignment="1">
      <alignment wrapText="1"/>
    </xf>
    <xf numFmtId="0" fontId="0" fillId="0" borderId="25" xfId="0" applyBorder="1" applyAlignment="1">
      <alignment wrapText="1"/>
    </xf>
    <xf numFmtId="0" fontId="0" fillId="0" borderId="27" xfId="0" applyBorder="1" applyAlignment="1">
      <alignment wrapText="1"/>
    </xf>
    <xf numFmtId="0" fontId="0" fillId="0" borderId="13" xfId="0" applyBorder="1" applyAlignment="1">
      <alignment wrapText="1"/>
    </xf>
    <xf numFmtId="0" fontId="0" fillId="0" borderId="14" xfId="0" applyBorder="1" applyAlignment="1">
      <alignment wrapText="1"/>
    </xf>
  </cellXfs>
  <cellStyles count="1">
    <cellStyle name="Normal" xfId="0" builtinId="0"/>
  </cellStyles>
  <dxfs count="6">
    <dxf>
      <font>
        <color theme="0"/>
      </font>
      <fill>
        <patternFill>
          <bgColor rgb="FFFF3300"/>
        </patternFill>
      </fill>
    </dxf>
    <dxf>
      <font>
        <color theme="0"/>
      </font>
      <fill>
        <patternFill>
          <bgColor rgb="FFFF3300"/>
        </patternFill>
      </fill>
    </dxf>
    <dxf>
      <font>
        <color theme="0"/>
      </font>
      <fill>
        <patternFill>
          <bgColor rgb="FFFF3300"/>
        </patternFill>
      </fill>
    </dxf>
    <dxf>
      <font>
        <color theme="0"/>
      </font>
      <fill>
        <patternFill>
          <bgColor rgb="FFFF3300"/>
        </patternFill>
      </fill>
    </dxf>
    <dxf>
      <font>
        <color theme="0"/>
      </font>
      <fill>
        <patternFill>
          <bgColor rgb="FFFF3300"/>
        </patternFill>
      </fill>
    </dxf>
    <dxf>
      <font>
        <color theme="0"/>
      </font>
      <fill>
        <patternFill>
          <bgColor rgb="FFFF33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766C-647C-4F0E-8DDB-916CE29B28E5}">
  <dimension ref="B1:V80"/>
  <sheetViews>
    <sheetView tabSelected="1" zoomScale="70" zoomScaleNormal="70" workbookViewId="0">
      <selection activeCell="S17" sqref="S17"/>
    </sheetView>
  </sheetViews>
  <sheetFormatPr defaultRowHeight="15"/>
  <cols>
    <col min="15" max="15" width="30.140625" customWidth="1"/>
    <col min="16" max="16" width="40.7109375" customWidth="1"/>
    <col min="17" max="17" width="26.140625" customWidth="1"/>
    <col min="18" max="18" width="29.42578125" customWidth="1"/>
    <col min="19" max="19" width="31" customWidth="1"/>
    <col min="20" max="20" width="31.85546875" bestFit="1" customWidth="1"/>
    <col min="21" max="21" width="36.7109375" customWidth="1"/>
  </cols>
  <sheetData>
    <row r="1" spans="3:22">
      <c r="O1" s="65" t="s">
        <v>71</v>
      </c>
      <c r="P1" s="66"/>
      <c r="Q1" s="66"/>
      <c r="R1" s="67"/>
    </row>
    <row r="2" spans="3:22" ht="15.75" thickBot="1">
      <c r="O2" s="68"/>
      <c r="P2" s="69"/>
      <c r="Q2" s="69"/>
      <c r="R2" s="70"/>
    </row>
    <row r="3" spans="3:22">
      <c r="C3" s="76" t="s">
        <v>72</v>
      </c>
      <c r="D3" s="77"/>
      <c r="E3" s="77"/>
      <c r="F3" s="77"/>
      <c r="G3" s="77"/>
      <c r="H3" s="77"/>
      <c r="I3" s="77"/>
      <c r="J3" s="77"/>
      <c r="K3" s="78"/>
      <c r="O3" s="3" t="s">
        <v>0</v>
      </c>
      <c r="P3" s="4" t="s">
        <v>30</v>
      </c>
      <c r="Q3" s="4" t="s">
        <v>31</v>
      </c>
      <c r="R3" s="5" t="s">
        <v>8</v>
      </c>
      <c r="S3" s="1"/>
      <c r="V3" s="1"/>
    </row>
    <row r="4" spans="3:22">
      <c r="C4" s="79"/>
      <c r="D4" s="80"/>
      <c r="E4" s="80"/>
      <c r="F4" s="80"/>
      <c r="G4" s="80"/>
      <c r="H4" s="80"/>
      <c r="I4" s="80"/>
      <c r="J4" s="80"/>
      <c r="K4" s="81"/>
      <c r="O4" s="6">
        <v>3</v>
      </c>
      <c r="P4" s="2">
        <v>0.2</v>
      </c>
      <c r="Q4" s="2">
        <v>0.25</v>
      </c>
      <c r="R4" s="7">
        <v>0.25</v>
      </c>
    </row>
    <row r="5" spans="3:22">
      <c r="C5" s="82" t="s">
        <v>73</v>
      </c>
      <c r="D5" s="83"/>
      <c r="E5" s="83"/>
      <c r="F5" s="83"/>
      <c r="G5" s="83"/>
      <c r="H5" s="83"/>
      <c r="I5" s="83"/>
      <c r="J5" s="83"/>
      <c r="K5" s="84"/>
      <c r="O5" s="6">
        <v>4</v>
      </c>
      <c r="P5" s="2">
        <v>0.15</v>
      </c>
      <c r="Q5" s="2">
        <v>0.2</v>
      </c>
      <c r="R5" s="7">
        <v>0.2</v>
      </c>
    </row>
    <row r="6" spans="3:22">
      <c r="C6" s="82"/>
      <c r="D6" s="83"/>
      <c r="E6" s="83"/>
      <c r="F6" s="83"/>
      <c r="G6" s="83"/>
      <c r="H6" s="83"/>
      <c r="I6" s="83"/>
      <c r="J6" s="83"/>
      <c r="K6" s="84"/>
      <c r="O6" s="6">
        <v>5</v>
      </c>
      <c r="P6" s="2">
        <v>0.15</v>
      </c>
      <c r="Q6" s="2">
        <v>0.17499999999999999</v>
      </c>
      <c r="R6" s="7">
        <v>0.17499999999999999</v>
      </c>
    </row>
    <row r="7" spans="3:22">
      <c r="C7" s="82"/>
      <c r="D7" s="83"/>
      <c r="E7" s="83"/>
      <c r="F7" s="83"/>
      <c r="G7" s="83"/>
      <c r="H7" s="83"/>
      <c r="I7" s="83"/>
      <c r="J7" s="83"/>
      <c r="K7" s="84"/>
      <c r="O7" s="6">
        <v>6</v>
      </c>
      <c r="P7" s="2">
        <v>0.125</v>
      </c>
      <c r="Q7" s="2">
        <v>0.15</v>
      </c>
      <c r="R7" s="7">
        <v>0.15</v>
      </c>
    </row>
    <row r="8" spans="3:22">
      <c r="C8" s="85" t="s">
        <v>75</v>
      </c>
      <c r="D8" s="86"/>
      <c r="E8" s="86"/>
      <c r="F8" s="86"/>
      <c r="G8" s="86"/>
      <c r="H8" s="86"/>
      <c r="I8" s="86"/>
      <c r="J8" s="86"/>
      <c r="K8" s="87"/>
      <c r="O8" s="6">
        <v>7</v>
      </c>
      <c r="P8" s="2">
        <v>0.125</v>
      </c>
      <c r="Q8" s="2">
        <v>0.125</v>
      </c>
      <c r="R8" s="7">
        <v>0.125</v>
      </c>
    </row>
    <row r="9" spans="3:22" ht="14.45" customHeight="1">
      <c r="C9" s="88"/>
      <c r="D9" s="75"/>
      <c r="E9" s="75"/>
      <c r="F9" s="75"/>
      <c r="G9" s="75"/>
      <c r="H9" s="75"/>
      <c r="I9" s="75"/>
      <c r="J9" s="75"/>
      <c r="K9" s="89"/>
      <c r="O9" s="6">
        <v>8</v>
      </c>
      <c r="P9" s="2">
        <v>0.125</v>
      </c>
      <c r="Q9" s="2">
        <v>0.1</v>
      </c>
      <c r="R9" s="7">
        <v>0.1</v>
      </c>
    </row>
    <row r="10" spans="3:22" ht="15.95" customHeight="1" thickBot="1">
      <c r="C10" s="88"/>
      <c r="D10" s="75"/>
      <c r="E10" s="75"/>
      <c r="F10" s="75"/>
      <c r="G10" s="75"/>
      <c r="H10" s="75"/>
      <c r="I10" s="75"/>
      <c r="J10" s="75"/>
      <c r="K10" s="89"/>
      <c r="O10" s="8">
        <v>9</v>
      </c>
      <c r="P10" s="9">
        <v>0.1</v>
      </c>
      <c r="Q10" s="9">
        <v>0.09</v>
      </c>
      <c r="R10" s="10">
        <v>0.09</v>
      </c>
    </row>
    <row r="11" spans="3:22" ht="15.75" thickBot="1">
      <c r="C11" s="88"/>
      <c r="D11" s="75"/>
      <c r="E11" s="75"/>
      <c r="F11" s="75"/>
      <c r="G11" s="75"/>
      <c r="H11" s="75"/>
      <c r="I11" s="75"/>
      <c r="J11" s="75"/>
      <c r="K11" s="89"/>
    </row>
    <row r="12" spans="3:22" ht="15.75" thickBot="1">
      <c r="C12" s="68"/>
      <c r="D12" s="69"/>
      <c r="E12" s="69"/>
      <c r="F12" s="69"/>
      <c r="G12" s="69"/>
      <c r="H12" s="69"/>
      <c r="I12" s="69"/>
      <c r="J12" s="69"/>
      <c r="K12" s="70"/>
      <c r="O12" s="3" t="s">
        <v>2</v>
      </c>
      <c r="P12" s="5" t="s">
        <v>29</v>
      </c>
    </row>
    <row r="13" spans="3:22" ht="24" thickBot="1">
      <c r="C13" s="29" t="s">
        <v>10</v>
      </c>
      <c r="D13" s="30"/>
      <c r="E13" s="30"/>
      <c r="F13" s="30"/>
      <c r="G13" s="30"/>
      <c r="H13" s="31"/>
      <c r="I13" s="29" t="s">
        <v>15</v>
      </c>
      <c r="J13" s="30"/>
      <c r="K13" s="31"/>
      <c r="O13" s="6" t="s">
        <v>3</v>
      </c>
      <c r="P13" s="7">
        <v>0.6</v>
      </c>
    </row>
    <row r="14" spans="3:22">
      <c r="C14" s="13" t="s">
        <v>9</v>
      </c>
      <c r="D14" t="s">
        <v>11</v>
      </c>
      <c r="H14" s="14"/>
      <c r="I14" s="28" t="s">
        <v>24</v>
      </c>
      <c r="K14" s="14"/>
      <c r="O14" s="6" t="s">
        <v>4</v>
      </c>
      <c r="P14" s="7">
        <v>0.45</v>
      </c>
    </row>
    <row r="15" spans="3:22">
      <c r="C15" s="13" t="s">
        <v>16</v>
      </c>
      <c r="D15" t="s">
        <v>17</v>
      </c>
      <c r="H15" s="14"/>
      <c r="I15" s="13" t="s">
        <v>35</v>
      </c>
      <c r="K15" s="14"/>
      <c r="O15" s="6" t="s">
        <v>5</v>
      </c>
      <c r="P15" s="7">
        <v>0.35</v>
      </c>
    </row>
    <row r="16" spans="3:22">
      <c r="C16" s="13" t="s">
        <v>18</v>
      </c>
      <c r="D16" t="s">
        <v>20</v>
      </c>
      <c r="H16" s="14"/>
      <c r="I16" s="13"/>
      <c r="K16" s="14"/>
      <c r="O16" s="6" t="s">
        <v>6</v>
      </c>
      <c r="P16" s="7">
        <v>0.25</v>
      </c>
    </row>
    <row r="17" spans="3:21" ht="15.75" thickBot="1">
      <c r="C17" s="13" t="s">
        <v>19</v>
      </c>
      <c r="D17" t="s">
        <v>21</v>
      </c>
      <c r="H17" s="14"/>
      <c r="I17" s="28" t="s">
        <v>25</v>
      </c>
      <c r="K17" s="14"/>
      <c r="O17" s="8" t="s">
        <v>7</v>
      </c>
      <c r="P17" s="10">
        <v>0.2</v>
      </c>
    </row>
    <row r="18" spans="3:21" ht="15.75" thickBot="1">
      <c r="C18" s="13" t="s">
        <v>1</v>
      </c>
      <c r="D18" t="s">
        <v>58</v>
      </c>
      <c r="H18" s="14"/>
      <c r="I18" s="13" t="s">
        <v>28</v>
      </c>
      <c r="K18" s="14"/>
    </row>
    <row r="19" spans="3:21">
      <c r="C19" s="13" t="s">
        <v>12</v>
      </c>
      <c r="D19" t="s">
        <v>57</v>
      </c>
      <c r="H19" s="14"/>
      <c r="I19" s="13"/>
      <c r="K19" s="14"/>
      <c r="O19" s="65" t="s">
        <v>32</v>
      </c>
      <c r="P19" s="66"/>
      <c r="Q19" s="66"/>
      <c r="R19" s="66"/>
      <c r="S19" s="66"/>
      <c r="T19" s="66"/>
      <c r="U19" s="67"/>
    </row>
    <row r="20" spans="3:21" ht="15.75" thickBot="1">
      <c r="C20" s="13" t="s">
        <v>13</v>
      </c>
      <c r="D20" t="s">
        <v>56</v>
      </c>
      <c r="H20" s="14"/>
      <c r="I20" s="28" t="s">
        <v>24</v>
      </c>
      <c r="K20" s="14"/>
      <c r="O20" s="68"/>
      <c r="P20" s="69"/>
      <c r="Q20" s="69"/>
      <c r="R20" s="69"/>
      <c r="S20" s="69"/>
      <c r="T20" s="69"/>
      <c r="U20" s="70"/>
    </row>
    <row r="21" spans="3:21" ht="21">
      <c r="C21" s="13" t="s">
        <v>14</v>
      </c>
      <c r="D21" t="s">
        <v>55</v>
      </c>
      <c r="H21" s="14"/>
      <c r="I21" s="13" t="s">
        <v>36</v>
      </c>
      <c r="K21" s="14"/>
      <c r="O21" s="18" t="s">
        <v>46</v>
      </c>
      <c r="P21" s="19"/>
      <c r="Q21" s="19"/>
      <c r="R21" s="19"/>
      <c r="S21" s="19"/>
      <c r="T21" s="19"/>
      <c r="U21" s="20"/>
    </row>
    <row r="22" spans="3:21" ht="60" customHeight="1" thickBot="1">
      <c r="C22" s="13" t="s">
        <v>22</v>
      </c>
      <c r="D22" t="s">
        <v>53</v>
      </c>
      <c r="H22" s="14"/>
      <c r="I22" s="13"/>
      <c r="K22" s="14"/>
      <c r="O22" s="71" t="s">
        <v>76</v>
      </c>
      <c r="P22" s="72"/>
      <c r="Q22" s="72"/>
      <c r="R22" s="72"/>
      <c r="S22" s="16"/>
      <c r="T22" s="16"/>
      <c r="U22" s="17"/>
    </row>
    <row r="23" spans="3:21">
      <c r="C23" s="13" t="s">
        <v>23</v>
      </c>
      <c r="D23" t="s">
        <v>54</v>
      </c>
      <c r="H23" s="14"/>
      <c r="I23" s="28" t="s">
        <v>25</v>
      </c>
      <c r="K23" s="14"/>
      <c r="O23" s="36"/>
      <c r="P23" s="19"/>
      <c r="Q23" s="19"/>
      <c r="R23" s="19"/>
      <c r="S23" s="19"/>
      <c r="T23" s="19"/>
      <c r="U23" s="20"/>
    </row>
    <row r="24" spans="3:21" ht="15.75" thickBot="1">
      <c r="C24" s="13" t="s">
        <v>26</v>
      </c>
      <c r="D24" t="s">
        <v>27</v>
      </c>
      <c r="H24" s="14"/>
      <c r="I24" s="15" t="s">
        <v>39</v>
      </c>
      <c r="J24" s="16"/>
      <c r="K24" s="17"/>
      <c r="O24" s="21" t="s">
        <v>60</v>
      </c>
      <c r="P24" s="1" t="s">
        <v>33</v>
      </c>
      <c r="Q24" s="1" t="s">
        <v>65</v>
      </c>
      <c r="R24" s="1" t="s">
        <v>66</v>
      </c>
      <c r="S24" s="1" t="s">
        <v>62</v>
      </c>
      <c r="T24" s="1" t="s">
        <v>67</v>
      </c>
      <c r="U24" s="22" t="s">
        <v>61</v>
      </c>
    </row>
    <row r="25" spans="3:21" ht="15.75" thickBot="1">
      <c r="C25" s="13" t="s">
        <v>37</v>
      </c>
      <c r="D25" t="s">
        <v>38</v>
      </c>
      <c r="H25" s="14"/>
      <c r="O25" s="38">
        <v>0.8</v>
      </c>
      <c r="P25" s="39" t="s">
        <v>34</v>
      </c>
      <c r="Q25" s="40">
        <v>0.4</v>
      </c>
      <c r="R25" s="41">
        <f>IF(P25="PTH",($O$25-($Q$25+0.1))/2,($O$25-$Q$25)/2)</f>
        <v>0.15000000000000002</v>
      </c>
      <c r="S25" s="41">
        <f>IF($R$25&gt;0.2,0.2,IF($R$25&lt;0.1,"Too Small!",(SMALL($P$4:$P$10,COUNTIF($P$4:$P$10,"&lt;"&amp;$R$25)+1))))</f>
        <v>0.15</v>
      </c>
      <c r="T25" s="42">
        <f>IF($S$25="Too Small!","Too Small!",IF($P$25="PTH",$S$25+(0.1/2),$S$25))</f>
        <v>0.2</v>
      </c>
      <c r="U25" s="43" cm="1">
        <f t="array" aca="1" ref="U25" ca="1">IF(S25="Too Small!","Too Small!",OFFSET(INDIRECT(ADDRESS(MATCH($S$25,$P$4:$P$10,0)+3,16)),0,-1))</f>
        <v>4</v>
      </c>
    </row>
    <row r="26" spans="3:21" ht="33" customHeight="1" thickBot="1">
      <c r="C26" s="13" t="s">
        <v>9</v>
      </c>
      <c r="D26" t="s">
        <v>11</v>
      </c>
      <c r="H26" s="14"/>
      <c r="O26" s="44"/>
      <c r="P26" s="30"/>
      <c r="Q26" s="30"/>
      <c r="R26" s="30"/>
      <c r="S26" s="30"/>
      <c r="T26" s="30"/>
      <c r="U26" s="31"/>
    </row>
    <row r="27" spans="3:21" ht="21.75" thickBot="1">
      <c r="C27" s="13" t="s">
        <v>41</v>
      </c>
      <c r="D27" t="s">
        <v>42</v>
      </c>
      <c r="H27" s="14"/>
      <c r="O27" s="37" t="s">
        <v>45</v>
      </c>
      <c r="P27" s="30"/>
      <c r="Q27" s="30"/>
      <c r="R27" s="30"/>
      <c r="S27" s="30"/>
      <c r="T27" s="30"/>
      <c r="U27" s="31"/>
    </row>
    <row r="28" spans="3:21" ht="15.75" thickBot="1">
      <c r="C28" s="13" t="s">
        <v>34</v>
      </c>
      <c r="D28" t="s">
        <v>69</v>
      </c>
      <c r="H28" s="14"/>
      <c r="O28" s="21" t="s">
        <v>68</v>
      </c>
      <c r="P28" s="1" t="s">
        <v>37</v>
      </c>
      <c r="Q28" s="1" t="s">
        <v>59</v>
      </c>
      <c r="R28" s="1" t="s">
        <v>63</v>
      </c>
      <c r="S28" s="1" t="s">
        <v>40</v>
      </c>
      <c r="U28" s="14"/>
    </row>
    <row r="29" spans="3:21" ht="15.75" thickBot="1">
      <c r="C29" s="15" t="s">
        <v>64</v>
      </c>
      <c r="D29" s="16" t="s">
        <v>70</v>
      </c>
      <c r="E29" s="16"/>
      <c r="F29" s="16"/>
      <c r="G29" s="16"/>
      <c r="H29" s="17"/>
      <c r="O29" s="23" t="s">
        <v>34</v>
      </c>
      <c r="P29" s="24">
        <f>Q25</f>
        <v>0.4</v>
      </c>
      <c r="Q29" s="25">
        <f>IF(O29="PTH",P29+0.1,P29)</f>
        <v>0.5</v>
      </c>
      <c r="R29" s="24">
        <f>SMALL($P$13:$P$17,COUNTIF($P$13:$P$17,"&lt;="&amp;$Q$29))</f>
        <v>0.45</v>
      </c>
      <c r="S29" s="26" t="str" cm="1">
        <f t="array" aca="1" ref="S29" ca="1">OFFSET(INDIRECT(ADDRESS(MATCH($R$29,$P$13:$P$17,0)+12,16)),0,-1)</f>
        <v>B</v>
      </c>
      <c r="T29" s="16"/>
      <c r="U29" s="17"/>
    </row>
    <row r="31" spans="3:21" ht="15.75" thickBot="1"/>
    <row r="32" spans="3:21" ht="35.450000000000003" customHeight="1" thickBot="1">
      <c r="M32" s="73" t="s">
        <v>90</v>
      </c>
      <c r="N32" s="74"/>
      <c r="O32" s="29" t="s">
        <v>91</v>
      </c>
      <c r="P32" s="30"/>
      <c r="Q32" s="31"/>
    </row>
    <row r="33" spans="13:17" ht="15.75" thickBot="1">
      <c r="M33" s="45">
        <f ca="1">$U$25</f>
        <v>4</v>
      </c>
      <c r="N33" s="57" t="str">
        <f ca="1">$S$29</f>
        <v>B</v>
      </c>
      <c r="O33" s="58" t="s">
        <v>74</v>
      </c>
      <c r="P33" s="59"/>
      <c r="Q33" s="60"/>
    </row>
    <row r="34" spans="13:17">
      <c r="O34" s="61" t="s">
        <v>50</v>
      </c>
      <c r="P34" s="56" t="s">
        <v>51</v>
      </c>
      <c r="Q34" s="62" t="s">
        <v>52</v>
      </c>
    </row>
    <row r="35" spans="13:17">
      <c r="O35" s="6" t="s">
        <v>47</v>
      </c>
      <c r="P35" s="2" t="s">
        <v>43</v>
      </c>
      <c r="Q35" s="7" cm="1">
        <f t="array" aca="1" ref="Q35" ca="1">IF($S$25="Too Small!","Too Small!",OFFSET(INDIRECT(ADDRESS(MATCH($S$25,$P$4:$P$10,0)+3,16)),0,2))</f>
        <v>0.2</v>
      </c>
    </row>
    <row r="36" spans="13:17">
      <c r="O36" s="6" t="s">
        <v>47</v>
      </c>
      <c r="P36" s="2" t="s">
        <v>100</v>
      </c>
      <c r="Q36" s="7">
        <f>IF((S25+0.075)&lt;0.2,0.2,(S25+0.075))</f>
        <v>0.22499999999999998</v>
      </c>
    </row>
    <row r="37" spans="13:17">
      <c r="O37" s="6" t="s">
        <v>48</v>
      </c>
      <c r="P37" s="2" t="s">
        <v>44</v>
      </c>
      <c r="Q37" s="7" cm="1">
        <f t="array" aca="1" ref="Q37" ca="1">IF($S$25="Too Small!","Too Small!",OFFSET(INDIRECT(ADDRESS(MATCH($S$25,$P$4:$P$10,0)+3,16)),0,1))</f>
        <v>0.2</v>
      </c>
    </row>
    <row r="38" spans="13:17">
      <c r="O38" s="6" t="s">
        <v>84</v>
      </c>
      <c r="P38" s="2" t="s">
        <v>85</v>
      </c>
      <c r="Q38" s="7" t="s">
        <v>86</v>
      </c>
    </row>
    <row r="39" spans="13:17">
      <c r="O39" s="6" t="s">
        <v>80</v>
      </c>
      <c r="P39" s="2" t="s">
        <v>82</v>
      </c>
      <c r="Q39" s="7">
        <v>0.04</v>
      </c>
    </row>
    <row r="40" spans="13:17">
      <c r="O40" s="6" t="s">
        <v>81</v>
      </c>
      <c r="P40" s="2" t="s">
        <v>83</v>
      </c>
      <c r="Q40" s="7">
        <v>0</v>
      </c>
    </row>
    <row r="41" spans="13:17">
      <c r="O41" s="6" t="s">
        <v>49</v>
      </c>
      <c r="P41" s="2" t="s">
        <v>98</v>
      </c>
      <c r="Q41" s="7">
        <f>$S$25+(0.1/2)</f>
        <v>0.2</v>
      </c>
    </row>
    <row r="42" spans="13:17">
      <c r="O42" s="6" t="s">
        <v>49</v>
      </c>
      <c r="P42" s="2" t="s">
        <v>99</v>
      </c>
      <c r="Q42" s="7">
        <f>$S$25</f>
        <v>0.15</v>
      </c>
    </row>
    <row r="43" spans="13:17">
      <c r="O43" s="6" t="s">
        <v>49</v>
      </c>
      <c r="P43" s="2" t="s">
        <v>94</v>
      </c>
      <c r="Q43" s="7">
        <f>$P$29</f>
        <v>0.4</v>
      </c>
    </row>
    <row r="44" spans="13:17">
      <c r="O44" s="6" t="s">
        <v>49</v>
      </c>
      <c r="P44" s="2" t="s">
        <v>95</v>
      </c>
      <c r="Q44" s="7">
        <f>$Q$43+0.1</f>
        <v>0.5</v>
      </c>
    </row>
    <row r="45" spans="13:17">
      <c r="O45" s="6" t="s">
        <v>49</v>
      </c>
      <c r="P45" s="2" t="s">
        <v>97</v>
      </c>
      <c r="Q45" s="51">
        <v>0.35</v>
      </c>
    </row>
    <row r="46" spans="13:17">
      <c r="O46" s="6" t="s">
        <v>49</v>
      </c>
      <c r="P46" s="2" t="s">
        <v>77</v>
      </c>
      <c r="Q46" s="7">
        <v>0.08</v>
      </c>
    </row>
    <row r="47" spans="13:17">
      <c r="O47" s="6" t="s">
        <v>49</v>
      </c>
      <c r="P47" s="2" t="s">
        <v>78</v>
      </c>
      <c r="Q47" s="7">
        <v>0</v>
      </c>
    </row>
    <row r="48" spans="13:17">
      <c r="O48" s="6" t="s">
        <v>49</v>
      </c>
      <c r="P48" s="2" t="s">
        <v>79</v>
      </c>
      <c r="Q48" s="7">
        <v>0.15</v>
      </c>
    </row>
    <row r="49" spans="2:17" ht="15.75" thickBot="1">
      <c r="O49" s="8" t="s">
        <v>49</v>
      </c>
      <c r="P49" s="9" t="s">
        <v>87</v>
      </c>
      <c r="Q49" s="10">
        <v>0.4</v>
      </c>
    </row>
    <row r="50" spans="2:17" ht="14.45" customHeight="1">
      <c r="B50" s="11"/>
      <c r="O50" s="75" t="s">
        <v>89</v>
      </c>
      <c r="P50" s="75"/>
      <c r="Q50" s="75"/>
    </row>
    <row r="51" spans="2:17">
      <c r="B51" s="12"/>
      <c r="O51" s="75"/>
      <c r="P51" s="75"/>
      <c r="Q51" s="75"/>
    </row>
    <row r="52" spans="2:17">
      <c r="O52" s="75" t="s">
        <v>88</v>
      </c>
      <c r="P52" s="75"/>
      <c r="Q52" s="75"/>
    </row>
    <row r="53" spans="2:17" ht="14.45" customHeight="1">
      <c r="O53" s="75"/>
      <c r="P53" s="75"/>
      <c r="Q53" s="75"/>
    </row>
    <row r="54" spans="2:17">
      <c r="O54" s="75"/>
      <c r="P54" s="75"/>
      <c r="Q54" s="75"/>
    </row>
    <row r="55" spans="2:17">
      <c r="O55" s="27"/>
      <c r="P55" s="27"/>
      <c r="Q55" s="27"/>
    </row>
    <row r="56" spans="2:17" ht="15.75" thickBot="1"/>
    <row r="57" spans="2:17" ht="36.6" customHeight="1" thickBot="1">
      <c r="M57" s="73" t="s">
        <v>93</v>
      </c>
      <c r="N57" s="74"/>
      <c r="O57" s="29" t="s">
        <v>92</v>
      </c>
      <c r="P57" s="30"/>
      <c r="Q57" s="31"/>
    </row>
    <row r="58" spans="2:17" ht="15.75" thickBot="1">
      <c r="M58" s="63">
        <v>9</v>
      </c>
      <c r="N58" s="64" t="s">
        <v>6</v>
      </c>
      <c r="O58" s="33" t="s">
        <v>74</v>
      </c>
      <c r="P58" s="34"/>
      <c r="Q58" s="35"/>
    </row>
    <row r="59" spans="2:17" ht="15.75" thickBot="1">
      <c r="O59" s="32" t="s">
        <v>50</v>
      </c>
      <c r="P59" s="32" t="s">
        <v>51</v>
      </c>
      <c r="Q59" s="32" t="s">
        <v>52</v>
      </c>
    </row>
    <row r="60" spans="2:17">
      <c r="O60" s="46" t="s">
        <v>47</v>
      </c>
      <c r="P60" s="47" t="s">
        <v>43</v>
      </c>
      <c r="Q60" s="48" cm="1">
        <f t="array" aca="1" ref="Q60" ca="1">OFFSET(INDIRECT(ADDRESS(MATCH($M$58,$O$4:$O$10,0)+3,15)),0,3)</f>
        <v>0.09</v>
      </c>
    </row>
    <row r="61" spans="2:17">
      <c r="O61" s="46" t="s">
        <v>47</v>
      </c>
      <c r="P61" s="2" t="s">
        <v>100</v>
      </c>
      <c r="Q61" s="48">
        <f ca="1">IF(Q66-0.05+0.075&lt;0.2,0.2,Q66-0.05+0.075)</f>
        <v>0.2</v>
      </c>
    </row>
    <row r="62" spans="2:17">
      <c r="O62" s="49" t="s">
        <v>48</v>
      </c>
      <c r="P62" s="50" t="s">
        <v>44</v>
      </c>
      <c r="Q62" s="51" cm="1">
        <f t="array" aca="1" ref="Q62" ca="1">OFFSET(INDIRECT(ADDRESS(MATCH($M$58,$O$4:$O$10,0)+3,15)),0,2)</f>
        <v>0.09</v>
      </c>
    </row>
    <row r="63" spans="2:17">
      <c r="O63" s="49" t="s">
        <v>84</v>
      </c>
      <c r="P63" s="50" t="s">
        <v>85</v>
      </c>
      <c r="Q63" s="51" t="s">
        <v>86</v>
      </c>
    </row>
    <row r="64" spans="2:17">
      <c r="O64" s="49" t="s">
        <v>80</v>
      </c>
      <c r="P64" s="50" t="s">
        <v>82</v>
      </c>
      <c r="Q64" s="51">
        <v>0.04</v>
      </c>
    </row>
    <row r="65" spans="15:17">
      <c r="O65" s="49" t="s">
        <v>81</v>
      </c>
      <c r="P65" s="50" t="s">
        <v>83</v>
      </c>
      <c r="Q65" s="51">
        <v>0</v>
      </c>
    </row>
    <row r="66" spans="15:17">
      <c r="O66" s="49" t="s">
        <v>49</v>
      </c>
      <c r="P66" s="2" t="s">
        <v>98</v>
      </c>
      <c r="Q66" s="51" cm="1">
        <f t="array" aca="1" ref="Q66" ca="1">OFFSET(INDIRECT(ADDRESS(MATCH($M$58,$O$4:$O$10,0)+3,15)),0,1)+(0.1/2)</f>
        <v>0.15000000000000002</v>
      </c>
    </row>
    <row r="67" spans="15:17">
      <c r="O67" s="49" t="s">
        <v>49</v>
      </c>
      <c r="P67" s="2" t="s">
        <v>99</v>
      </c>
      <c r="Q67" s="51" cm="1">
        <f t="array" aca="1" ref="Q67" ca="1">OFFSET(INDIRECT(ADDRESS(MATCH($M$58,$O$4:$O$10,0)+3,15)),0,1)</f>
        <v>0.1</v>
      </c>
    </row>
    <row r="68" spans="15:17">
      <c r="O68" s="49" t="s">
        <v>49</v>
      </c>
      <c r="P68" s="50" t="s">
        <v>94</v>
      </c>
      <c r="Q68" s="51" cm="1">
        <f t="array" aca="1" ref="Q68" ca="1">OFFSET(INDIRECT(ADDRESS(MATCH($N$58,$O$13:$O$17,0)+12,15)),0,1)-0.1</f>
        <v>0.15</v>
      </c>
    </row>
    <row r="69" spans="15:17">
      <c r="O69" s="49" t="s">
        <v>49</v>
      </c>
      <c r="P69" s="50" t="s">
        <v>95</v>
      </c>
      <c r="Q69" s="51" cm="1">
        <f t="array" aca="1" ref="Q69" ca="1">OFFSET(INDIRECT(ADDRESS(MATCH($N$58,$O$13:$O$17,0)+12,15)),0,1)</f>
        <v>0.25</v>
      </c>
    </row>
    <row r="70" spans="15:17">
      <c r="O70" s="6" t="s">
        <v>49</v>
      </c>
      <c r="P70" s="2" t="s">
        <v>97</v>
      </c>
      <c r="Q70" s="51">
        <v>0.35</v>
      </c>
    </row>
    <row r="71" spans="15:17">
      <c r="O71" s="49" t="s">
        <v>49</v>
      </c>
      <c r="P71" s="50" t="s">
        <v>77</v>
      </c>
      <c r="Q71" s="51">
        <v>0.08</v>
      </c>
    </row>
    <row r="72" spans="15:17">
      <c r="O72" s="49" t="s">
        <v>49</v>
      </c>
      <c r="P72" s="50" t="s">
        <v>78</v>
      </c>
      <c r="Q72" s="51">
        <v>0</v>
      </c>
    </row>
    <row r="73" spans="15:17">
      <c r="O73" s="49" t="s">
        <v>49</v>
      </c>
      <c r="P73" s="50" t="s">
        <v>79</v>
      </c>
      <c r="Q73" s="51">
        <v>0.15</v>
      </c>
    </row>
    <row r="74" spans="15:17" ht="15.75" thickBot="1">
      <c r="O74" s="52" t="s">
        <v>49</v>
      </c>
      <c r="P74" s="53" t="s">
        <v>87</v>
      </c>
      <c r="Q74" s="54">
        <v>0.4</v>
      </c>
    </row>
    <row r="75" spans="15:17">
      <c r="P75" s="55"/>
      <c r="Q75" s="55"/>
    </row>
    <row r="76" spans="15:17" ht="15.95" customHeight="1">
      <c r="O76" s="75" t="s">
        <v>96</v>
      </c>
      <c r="P76" s="75"/>
      <c r="Q76" s="75"/>
    </row>
    <row r="77" spans="15:17" ht="48.95" customHeight="1">
      <c r="O77" s="75" t="s">
        <v>88</v>
      </c>
      <c r="P77" s="75"/>
      <c r="Q77" s="75"/>
    </row>
    <row r="78" spans="15:17" ht="14.45" customHeight="1">
      <c r="O78" s="27"/>
      <c r="P78" s="27"/>
      <c r="Q78" s="27"/>
    </row>
    <row r="79" spans="15:17">
      <c r="O79" s="27"/>
      <c r="P79" s="27"/>
      <c r="Q79" s="27"/>
    </row>
    <row r="80" spans="15:17" ht="14.45" customHeight="1"/>
  </sheetData>
  <sheetProtection selectLockedCells="1"/>
  <mergeCells count="12">
    <mergeCell ref="C3:K4"/>
    <mergeCell ref="C5:K7"/>
    <mergeCell ref="C8:K12"/>
    <mergeCell ref="M57:N57"/>
    <mergeCell ref="O77:Q77"/>
    <mergeCell ref="O76:Q76"/>
    <mergeCell ref="O1:R2"/>
    <mergeCell ref="O22:R22"/>
    <mergeCell ref="O19:U20"/>
    <mergeCell ref="M32:N32"/>
    <mergeCell ref="O52:Q54"/>
    <mergeCell ref="O50:Q51"/>
  </mergeCells>
  <conditionalFormatting sqref="Q41">
    <cfRule type="cellIs" dxfId="5" priority="4" operator="equal">
      <formula>"Please select PTH"</formula>
    </cfRule>
  </conditionalFormatting>
  <conditionalFormatting sqref="Q42">
    <cfRule type="cellIs" dxfId="4" priority="6" operator="equal">
      <formula>"Please select NPTH"</formula>
    </cfRule>
  </conditionalFormatting>
  <conditionalFormatting sqref="Q60:Q62 Q66">
    <cfRule type="cellIs" dxfId="3" priority="2" operator="equal">
      <formula>"Too Small!"</formula>
    </cfRule>
  </conditionalFormatting>
  <conditionalFormatting sqref="Q66">
    <cfRule type="cellIs" dxfId="2" priority="1" operator="equal">
      <formula>"Please select PTH"</formula>
    </cfRule>
  </conditionalFormatting>
  <conditionalFormatting sqref="Q67">
    <cfRule type="cellIs" dxfId="1" priority="3" operator="equal">
      <formula>"Please select NPTH"</formula>
    </cfRule>
  </conditionalFormatting>
  <conditionalFormatting sqref="S25:U25 Q35:Q37 Q41">
    <cfRule type="cellIs" dxfId="0" priority="5" operator="equal">
      <formula>"Too Small!"</formula>
    </cfRule>
  </conditionalFormatting>
  <dataValidations disablePrompts="1" count="1">
    <dataValidation type="list" allowBlank="1" showInputMessage="1" showErrorMessage="1" sqref="O29 P25" xr:uid="{A6411B25-38C6-4BA6-9BF4-209C2C901992}">
      <formula1>"PTH,NPTH"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Garvey</dc:creator>
  <cp:lastModifiedBy>James Garvey</cp:lastModifiedBy>
  <dcterms:created xsi:type="dcterms:W3CDTF">2024-02-05T11:36:07Z</dcterms:created>
  <dcterms:modified xsi:type="dcterms:W3CDTF">2025-08-11T13:16:22Z</dcterms:modified>
</cp:coreProperties>
</file>